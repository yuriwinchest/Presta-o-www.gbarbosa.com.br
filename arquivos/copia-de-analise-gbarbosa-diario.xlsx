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TIEMIMI\Downloads\"/>
    </mc:Choice>
  </mc:AlternateContent>
  <xr:revisionPtr revIDLastSave="0" documentId="13_ncr:1_{138E44BF-393D-4DCF-BC64-4E33499AFC2B}" xr6:coauthVersionLast="47" xr6:coauthVersionMax="47" xr10:uidLastSave="{00000000-0000-0000-0000-000000000000}"/>
  <bookViews>
    <workbookView xWindow="-110" yWindow="-110" windowWidth="19420" windowHeight="10300" activeTab="1" xr2:uid="{821B1318-ECC5-4C18-B81E-B09699AA5D6B}"/>
  </bookViews>
  <sheets>
    <sheet name="FEV" sheetId="3" r:id="rId1"/>
    <sheet name="ultimos 6 mese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5" l="1"/>
  <c r="F4" i="5"/>
  <c r="I5" i="5"/>
  <c r="F5" i="5"/>
  <c r="F6" i="5"/>
  <c r="F7" i="5"/>
  <c r="I6" i="5"/>
  <c r="I7" i="5"/>
  <c r="I2" i="5"/>
  <c r="F2" i="5"/>
  <c r="I3" i="5"/>
  <c r="F3" i="5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" i="3"/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" i="3"/>
  <c r="H31" i="3" l="1"/>
  <c r="G31" i="3"/>
  <c r="D31" i="3"/>
  <c r="I31" i="3" l="1"/>
  <c r="E31" i="3"/>
  <c r="F31" i="3" s="1"/>
  <c r="B3" i="3" a="1"/>
  <c r="B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<sst xmlns="http://schemas.openxmlformats.org/spreadsheetml/2006/main" count="26" uniqueCount="26">
  <si>
    <t>GBARBOSA</t>
  </si>
  <si>
    <t>Pedidos captados</t>
  </si>
  <si>
    <t>tudo vtex</t>
  </si>
  <si>
    <t>Data</t>
  </si>
  <si>
    <t>Dia</t>
  </si>
  <si>
    <t>Receita captada geral</t>
  </si>
  <si>
    <t>Receita cap eletro</t>
  </si>
  <si>
    <t>Pedidos cap eletro</t>
  </si>
  <si>
    <t>INVEST. ALIMENTOS</t>
  </si>
  <si>
    <t>INVEST. ELETRO</t>
  </si>
  <si>
    <t>Pedidos cap alimentos</t>
  </si>
  <si>
    <t>Receita cap alimentos</t>
  </si>
  <si>
    <t>Sessões</t>
  </si>
  <si>
    <t>Receita total</t>
  </si>
  <si>
    <t>Receita Eletro</t>
  </si>
  <si>
    <t>Receita Alimentos</t>
  </si>
  <si>
    <t>Pedidos Alimentos</t>
  </si>
  <si>
    <t>Investimento Total</t>
  </si>
  <si>
    <t>Investimento Alimentos</t>
  </si>
  <si>
    <t>Investimento eletro</t>
  </si>
  <si>
    <t>Pedidos eletro</t>
  </si>
  <si>
    <t>INVEST TOTAL</t>
  </si>
  <si>
    <t>Pedidos total</t>
  </si>
  <si>
    <t>tudo captado vtex</t>
  </si>
  <si>
    <t>Sessões Mídia</t>
  </si>
  <si>
    <t>Sessões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</si>
</sst>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ddd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44" fontId="0" fillId="0" borderId="1" xfId="1" applyFont="1" applyBorder="1"/>
    <xf numFmtId="0" fontId="2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44" fontId="0" fillId="0" borderId="0" xfId="1" applyFont="1"/>
    <xf numFmtId="0" fontId="3" fillId="2" borderId="1" xfId="0" applyFont="1" applyFill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44" fontId="2" fillId="0" borderId="1" xfId="0" applyNumberFormat="1" applyFont="1" applyBorder="1"/>
    <xf numFmtId="16" fontId="4" fillId="3" borderId="1" xfId="0" applyNumberFormat="1" applyFont="1" applyFill="1" applyBorder="1" applyAlignment="1">
      <alignment horizontal="center" vertical="center"/>
    </xf>
    <xf numFmtId="44" fontId="2" fillId="0" borderId="3" xfId="1" applyFont="1" applyBorder="1" applyAlignment="1">
      <alignment horizontal="center" vertical="center"/>
    </xf>
    <xf numFmtId="44" fontId="2" fillId="0" borderId="2" xfId="1" applyFont="1" applyBorder="1" applyAlignment="1">
      <alignment horizontal="center" vertical="center"/>
    </xf>
    <xf numFmtId="0" fontId="0" fillId="3" borderId="0" xfId="0" applyFill="1"/>
    <xf numFmtId="17" fontId="0" fillId="0" borderId="0" xfId="0" applyNumberFormat="1"/>
    <xf numFmtId="8" fontId="0" fillId="0" borderId="0" xfId="0" applyNumberFormat="1"/>
    <xf numFmtId="3" fontId="0" fillId="0" borderId="0" xfId="0" applyNumberFormat="1"/>
    <xf numFmtId="44" fontId="0" fillId="0" borderId="0" xfId="0" applyNumberFormat="1"/>
  </cellXfs>
  <cellStyles count="2">
    <cellStyle name="Moeda" xfId="1" builtinId="4"/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1414-6E42-4EC8-8541-5088DABD26FF}">
  <dimension ref="A1:L39"/>
  <sheetViews>
    <sheetView topLeftCell="A10" zoomScale="80" zoomScaleNormal="80" workbookViewId="0">
      <selection activeCell="K29" sqref="K29"/>
    </sheetView>
  </sheetViews>
  <sheetFormatPr defaultRowHeight="15" customHeight="1" x14ac:dyDescent="0.35"/>
  <cols>
    <col min="1" max="1" width="10.81640625" style="4" customWidth="1"/>
    <col min="2" max="2" width="10.1796875" style="4" bestFit="1" customWidth="1"/>
    <col min="3" max="3" width="10.1796875" style="4" customWidth="1"/>
    <col min="4" max="4" width="20.7265625" style="4" bestFit="1" customWidth="1"/>
    <col min="5" max="5" width="17.54296875" style="4" bestFit="1" customWidth="1"/>
    <col min="6" max="7" width="15.81640625" style="4" customWidth="1"/>
    <col min="8" max="8" width="16.54296875" bestFit="1" customWidth="1"/>
    <col min="9" max="9" width="16.54296875" customWidth="1"/>
    <col min="10" max="10" width="17.453125" customWidth="1"/>
    <col min="11" max="11" width="18" customWidth="1"/>
    <col min="12" max="12" width="16.7265625" style="10" bestFit="1" customWidth="1"/>
  </cols>
  <sheetData>
    <row r="1" spans="1:12" ht="14.5" x14ac:dyDescent="0.35">
      <c r="A1" s="2" t="s">
        <v>0</v>
      </c>
      <c r="D1" s="4" t="s">
        <v>2</v>
      </c>
      <c r="E1"/>
      <c r="F1"/>
    </row>
    <row r="2" spans="1:12" ht="14.5" x14ac:dyDescent="0.35">
      <c r="A2" s="9" t="s">
        <v>3</v>
      </c>
      <c r="B2" s="11" t="s">
        <v>4</v>
      </c>
      <c r="C2" s="11" t="s">
        <v>12</v>
      </c>
      <c r="D2" s="11" t="s">
        <v>5</v>
      </c>
      <c r="E2" s="11" t="s">
        <v>6</v>
      </c>
      <c r="F2" s="11" t="s">
        <v>11</v>
      </c>
      <c r="G2" s="11" t="s">
        <v>1</v>
      </c>
      <c r="H2" s="11" t="s">
        <v>7</v>
      </c>
      <c r="I2" s="11" t="s">
        <v>10</v>
      </c>
      <c r="J2" s="11" t="s">
        <v>8</v>
      </c>
      <c r="K2" s="11" t="s">
        <v>9</v>
      </c>
      <c r="L2" s="11" t="s">
        <v>21</v>
      </c>
    </row>
    <row r="3" spans="1:12" ht="14.5" x14ac:dyDescent="0.35">
      <c r="A3" s="3">
        <v>46054</v>
      </c>
      <c r="B3" s="11" cm="1">
        <f t="array" ref="B3:B30">WEEKDAY(A3:A30)</f>
        <v>1</v>
      </c>
      <c r="C3" s="7"/>
      <c r="D3" s="6">
        <v>59888.94</v>
      </c>
      <c r="E3" s="6">
        <v>34935.82</v>
      </c>
      <c r="F3" s="6">
        <f>D3-E3</f>
        <v>24953.120000000003</v>
      </c>
      <c r="G3" s="5">
        <v>105</v>
      </c>
      <c r="H3" s="5">
        <v>37</v>
      </c>
      <c r="I3" s="5">
        <v>68</v>
      </c>
      <c r="J3" s="1">
        <v>1051.26</v>
      </c>
      <c r="K3" s="1">
        <v>4063.9700000000003</v>
      </c>
      <c r="L3" s="1">
        <f>J3+K3</f>
        <v>5115.2300000000005</v>
      </c>
    </row>
    <row r="4" spans="1:12" ht="14.5" x14ac:dyDescent="0.35">
      <c r="A4" s="3">
        <v>46055</v>
      </c>
      <c r="B4" s="7">
        <v>2</v>
      </c>
      <c r="C4" s="7"/>
      <c r="D4" s="6">
        <v>154251.14000000001</v>
      </c>
      <c r="E4" s="6">
        <v>79546.19</v>
      </c>
      <c r="F4" s="6">
        <f t="shared" ref="F4:F31" si="0">D4-E4</f>
        <v>74704.950000000012</v>
      </c>
      <c r="G4" s="5">
        <v>324</v>
      </c>
      <c r="H4" s="5">
        <v>88</v>
      </c>
      <c r="I4" s="5">
        <v>236</v>
      </c>
      <c r="J4" s="1">
        <v>2166.11</v>
      </c>
      <c r="K4" s="1">
        <v>6603.36</v>
      </c>
      <c r="L4" s="1">
        <f t="shared" ref="L4:L31" si="1">J4+K4</f>
        <v>8769.4699999999993</v>
      </c>
    </row>
    <row r="5" spans="1:12" ht="14.5" x14ac:dyDescent="0.35">
      <c r="A5" s="3">
        <v>46056</v>
      </c>
      <c r="B5" s="7">
        <v>3</v>
      </c>
      <c r="C5" s="7"/>
      <c r="D5" s="6">
        <v>164337.60999999999</v>
      </c>
      <c r="E5" s="6">
        <v>67667.990000000005</v>
      </c>
      <c r="F5" s="6">
        <f t="shared" si="0"/>
        <v>96669.619999999981</v>
      </c>
      <c r="G5" s="5">
        <v>305</v>
      </c>
      <c r="H5" s="5">
        <v>53</v>
      </c>
      <c r="I5" s="5">
        <v>252</v>
      </c>
      <c r="J5" s="1">
        <v>1941.93</v>
      </c>
      <c r="K5" s="1">
        <v>7761.4299999999994</v>
      </c>
      <c r="L5" s="1">
        <f t="shared" si="1"/>
        <v>9703.3599999999988</v>
      </c>
    </row>
    <row r="6" spans="1:12" ht="14.5" x14ac:dyDescent="0.35">
      <c r="A6" s="3">
        <v>46057</v>
      </c>
      <c r="B6" s="7">
        <v>4</v>
      </c>
      <c r="C6" s="7"/>
      <c r="D6" s="6">
        <v>124227.85</v>
      </c>
      <c r="E6" s="6">
        <v>65244.1</v>
      </c>
      <c r="F6" s="6">
        <f t="shared" si="0"/>
        <v>58983.750000000007</v>
      </c>
      <c r="G6" s="5">
        <v>250</v>
      </c>
      <c r="H6" s="5">
        <v>66</v>
      </c>
      <c r="I6" s="5">
        <v>184</v>
      </c>
      <c r="J6" s="1">
        <v>1746.71</v>
      </c>
      <c r="K6" s="1">
        <v>4997.6000000000004</v>
      </c>
      <c r="L6" s="1">
        <f t="shared" si="1"/>
        <v>6744.31</v>
      </c>
    </row>
    <row r="7" spans="1:12" ht="14.5" x14ac:dyDescent="0.35">
      <c r="A7" s="14">
        <v>46058</v>
      </c>
      <c r="B7" s="7">
        <v>5</v>
      </c>
      <c r="C7" s="7"/>
      <c r="D7" s="6">
        <v>165022.09</v>
      </c>
      <c r="E7" s="6">
        <v>92449.88</v>
      </c>
      <c r="F7" s="6">
        <f t="shared" si="0"/>
        <v>72572.209999999992</v>
      </c>
      <c r="G7" s="5">
        <v>252</v>
      </c>
      <c r="H7" s="5">
        <v>61</v>
      </c>
      <c r="I7" s="5">
        <v>191</v>
      </c>
      <c r="J7" s="1">
        <v>1425.24</v>
      </c>
      <c r="K7" s="1">
        <v>1488.57</v>
      </c>
      <c r="L7" s="1">
        <f t="shared" si="1"/>
        <v>2913.81</v>
      </c>
    </row>
    <row r="8" spans="1:12" ht="14.5" x14ac:dyDescent="0.35">
      <c r="A8" s="3">
        <v>46059</v>
      </c>
      <c r="B8" s="7">
        <v>6</v>
      </c>
      <c r="C8" s="7"/>
      <c r="D8" s="6">
        <v>209921.99</v>
      </c>
      <c r="E8" s="6">
        <v>105199.48</v>
      </c>
      <c r="F8" s="6">
        <f t="shared" si="0"/>
        <v>104722.51</v>
      </c>
      <c r="G8" s="5">
        <v>401</v>
      </c>
      <c r="H8" s="5">
        <v>61</v>
      </c>
      <c r="I8" s="5">
        <v>340</v>
      </c>
      <c r="J8" s="1">
        <v>2405.8200000000002</v>
      </c>
      <c r="K8" s="6"/>
      <c r="L8" s="1">
        <f t="shared" si="1"/>
        <v>2405.8200000000002</v>
      </c>
    </row>
    <row r="9" spans="1:12" ht="14.5" x14ac:dyDescent="0.35">
      <c r="A9" s="3">
        <v>46060</v>
      </c>
      <c r="B9" s="7">
        <v>7</v>
      </c>
      <c r="C9" s="7"/>
      <c r="D9" s="6">
        <v>148416.26999999999</v>
      </c>
      <c r="E9" s="6">
        <v>79538.59</v>
      </c>
      <c r="F9" s="6">
        <f t="shared" si="0"/>
        <v>68877.679999999993</v>
      </c>
      <c r="G9" s="5">
        <v>252</v>
      </c>
      <c r="H9" s="5">
        <v>47</v>
      </c>
      <c r="I9" s="5">
        <v>205</v>
      </c>
      <c r="J9" s="1">
        <v>498.33000000000004</v>
      </c>
      <c r="K9" s="6"/>
      <c r="L9" s="1">
        <f t="shared" si="1"/>
        <v>498.33000000000004</v>
      </c>
    </row>
    <row r="10" spans="1:12" ht="14.5" x14ac:dyDescent="0.35">
      <c r="A10" s="3">
        <v>46061</v>
      </c>
      <c r="B10" s="7">
        <v>1</v>
      </c>
      <c r="C10" s="7"/>
      <c r="D10" s="6">
        <v>70233.070000000007</v>
      </c>
      <c r="E10" s="6">
        <v>50235.18</v>
      </c>
      <c r="F10" s="6">
        <f t="shared" si="0"/>
        <v>19997.890000000007</v>
      </c>
      <c r="G10" s="5">
        <v>97</v>
      </c>
      <c r="H10" s="5">
        <v>34</v>
      </c>
      <c r="I10" s="5">
        <v>63</v>
      </c>
      <c r="J10" s="1">
        <v>548.16999999999996</v>
      </c>
      <c r="K10" s="6"/>
      <c r="L10" s="1">
        <f t="shared" si="1"/>
        <v>548.16999999999996</v>
      </c>
    </row>
    <row r="11" spans="1:12" ht="14.5" x14ac:dyDescent="0.35">
      <c r="A11" s="3">
        <v>46062</v>
      </c>
      <c r="B11" s="7">
        <v>2</v>
      </c>
      <c r="C11" s="7"/>
      <c r="D11" s="6">
        <v>83935.17</v>
      </c>
      <c r="E11" s="6">
        <v>47547.19</v>
      </c>
      <c r="F11" s="6">
        <f t="shared" si="0"/>
        <v>36387.979999999996</v>
      </c>
      <c r="G11" s="12">
        <v>177</v>
      </c>
      <c r="H11" s="5">
        <v>40</v>
      </c>
      <c r="I11" s="5">
        <v>137</v>
      </c>
      <c r="J11" s="1">
        <v>1036.95</v>
      </c>
      <c r="K11" s="6"/>
      <c r="L11" s="1">
        <f t="shared" si="1"/>
        <v>1036.95</v>
      </c>
    </row>
    <row r="12" spans="1:12" ht="14.5" x14ac:dyDescent="0.35">
      <c r="A12" s="3">
        <v>46063</v>
      </c>
      <c r="B12" s="7">
        <v>3</v>
      </c>
      <c r="C12" s="7"/>
      <c r="D12" s="6">
        <v>85334.21</v>
      </c>
      <c r="E12" s="6">
        <v>22365.98</v>
      </c>
      <c r="F12" s="6">
        <f t="shared" si="0"/>
        <v>62968.23000000001</v>
      </c>
      <c r="G12" s="12">
        <v>217</v>
      </c>
      <c r="H12" s="5">
        <v>25</v>
      </c>
      <c r="I12" s="5">
        <v>192</v>
      </c>
      <c r="J12" s="1">
        <v>1921.7599999999998</v>
      </c>
      <c r="K12" s="6"/>
      <c r="L12" s="1">
        <f t="shared" si="1"/>
        <v>1921.7599999999998</v>
      </c>
    </row>
    <row r="13" spans="1:12" ht="14.5" x14ac:dyDescent="0.35">
      <c r="A13" s="3">
        <v>46064</v>
      </c>
      <c r="B13" s="7">
        <v>4</v>
      </c>
      <c r="C13" s="7"/>
      <c r="D13" s="6">
        <v>78967.360000000001</v>
      </c>
      <c r="E13" s="6">
        <v>29068.799999999999</v>
      </c>
      <c r="F13" s="6">
        <f t="shared" si="0"/>
        <v>49898.559999999998</v>
      </c>
      <c r="G13" s="12">
        <v>186</v>
      </c>
      <c r="H13" s="5">
        <v>30</v>
      </c>
      <c r="I13" s="5">
        <v>156</v>
      </c>
      <c r="J13" s="1">
        <v>1303.8899999999999</v>
      </c>
      <c r="K13" s="6"/>
      <c r="L13" s="1">
        <f t="shared" si="1"/>
        <v>1303.8899999999999</v>
      </c>
    </row>
    <row r="14" spans="1:12" ht="14.5" x14ac:dyDescent="0.35">
      <c r="A14" s="3">
        <v>46065</v>
      </c>
      <c r="B14" s="7">
        <v>5</v>
      </c>
      <c r="C14" s="7"/>
      <c r="D14" s="6">
        <v>74849.600000000006</v>
      </c>
      <c r="E14" s="6">
        <v>34422.29</v>
      </c>
      <c r="F14" s="6">
        <f t="shared" si="0"/>
        <v>40427.310000000005</v>
      </c>
      <c r="G14" s="12">
        <v>172</v>
      </c>
      <c r="H14" s="5">
        <v>28</v>
      </c>
      <c r="I14" s="5">
        <v>144</v>
      </c>
      <c r="J14" s="1">
        <v>996.48</v>
      </c>
      <c r="K14" s="6"/>
      <c r="L14" s="1">
        <f t="shared" si="1"/>
        <v>996.48</v>
      </c>
    </row>
    <row r="15" spans="1:12" ht="14.5" x14ac:dyDescent="0.35">
      <c r="A15" s="3">
        <v>46066</v>
      </c>
      <c r="B15" s="7">
        <v>6</v>
      </c>
      <c r="C15" s="7"/>
      <c r="D15" s="6">
        <v>66209.05</v>
      </c>
      <c r="E15" s="6">
        <v>16784.25</v>
      </c>
      <c r="F15" s="6">
        <f t="shared" si="0"/>
        <v>49424.800000000003</v>
      </c>
      <c r="G15" s="12">
        <v>195</v>
      </c>
      <c r="H15" s="5">
        <v>23</v>
      </c>
      <c r="I15" s="5">
        <v>172</v>
      </c>
      <c r="J15" s="1">
        <v>949.76</v>
      </c>
      <c r="K15" s="6"/>
      <c r="L15" s="1">
        <f t="shared" si="1"/>
        <v>949.76</v>
      </c>
    </row>
    <row r="16" spans="1:12" ht="14.5" x14ac:dyDescent="0.35">
      <c r="A16" s="3">
        <v>46067</v>
      </c>
      <c r="B16" s="7">
        <v>7</v>
      </c>
      <c r="C16" s="7"/>
      <c r="D16" s="6">
        <v>32813.919999999998</v>
      </c>
      <c r="E16" s="6">
        <v>11983.22</v>
      </c>
      <c r="F16" s="6">
        <f t="shared" si="0"/>
        <v>20830.699999999997</v>
      </c>
      <c r="G16" s="12">
        <v>105</v>
      </c>
      <c r="H16" s="5">
        <v>15</v>
      </c>
      <c r="I16" s="5">
        <v>90</v>
      </c>
      <c r="J16" s="1">
        <v>1310.06</v>
      </c>
      <c r="K16" s="6"/>
      <c r="L16" s="1">
        <f t="shared" si="1"/>
        <v>1310.06</v>
      </c>
    </row>
    <row r="17" spans="1:12" ht="14.5" x14ac:dyDescent="0.35">
      <c r="A17" s="3">
        <v>46068</v>
      </c>
      <c r="B17" s="7">
        <v>1</v>
      </c>
      <c r="C17" s="7"/>
      <c r="D17" s="6">
        <v>28913.79</v>
      </c>
      <c r="E17" s="6">
        <v>18173.5</v>
      </c>
      <c r="F17" s="6">
        <f t="shared" si="0"/>
        <v>10740.29</v>
      </c>
      <c r="G17" s="12">
        <v>60</v>
      </c>
      <c r="H17" s="5">
        <v>14</v>
      </c>
      <c r="I17" s="5">
        <v>46</v>
      </c>
      <c r="J17" s="1">
        <v>643.47</v>
      </c>
      <c r="K17" s="6"/>
      <c r="L17" s="1">
        <f t="shared" si="1"/>
        <v>643.47</v>
      </c>
    </row>
    <row r="18" spans="1:12" ht="14.5" customHeight="1" x14ac:dyDescent="0.35">
      <c r="A18" s="3">
        <v>46069</v>
      </c>
      <c r="B18" s="7">
        <v>2</v>
      </c>
      <c r="C18" s="7"/>
      <c r="D18" s="6">
        <v>34693.72</v>
      </c>
      <c r="E18" s="6">
        <v>18365.54</v>
      </c>
      <c r="F18" s="6">
        <f t="shared" si="0"/>
        <v>16328.18</v>
      </c>
      <c r="G18" s="12">
        <v>76</v>
      </c>
      <c r="H18" s="5">
        <v>13</v>
      </c>
      <c r="I18" s="5">
        <v>63</v>
      </c>
      <c r="J18" s="1">
        <v>713.28000000000009</v>
      </c>
      <c r="K18" s="6"/>
      <c r="L18" s="1">
        <f t="shared" si="1"/>
        <v>713.28000000000009</v>
      </c>
    </row>
    <row r="19" spans="1:12" ht="14.5" x14ac:dyDescent="0.35">
      <c r="A19" s="3">
        <v>46070</v>
      </c>
      <c r="B19" s="7">
        <v>3</v>
      </c>
      <c r="C19" s="7"/>
      <c r="D19" s="6">
        <v>32644.45</v>
      </c>
      <c r="E19" s="6">
        <v>10472.17</v>
      </c>
      <c r="F19" s="6">
        <f t="shared" si="0"/>
        <v>22172.28</v>
      </c>
      <c r="G19" s="12">
        <v>82</v>
      </c>
      <c r="H19" s="5">
        <v>8</v>
      </c>
      <c r="I19" s="5">
        <v>74</v>
      </c>
      <c r="J19" s="1">
        <v>412.03000000000003</v>
      </c>
      <c r="K19" s="6"/>
      <c r="L19" s="1">
        <f t="shared" si="1"/>
        <v>412.03000000000003</v>
      </c>
    </row>
    <row r="20" spans="1:12" ht="14.5" x14ac:dyDescent="0.35">
      <c r="A20" s="3">
        <v>46071</v>
      </c>
      <c r="B20" s="7">
        <v>4</v>
      </c>
      <c r="C20" s="7"/>
      <c r="D20" s="6">
        <v>66379.11</v>
      </c>
      <c r="E20" s="6">
        <v>25478.71</v>
      </c>
      <c r="F20" s="6">
        <f t="shared" si="0"/>
        <v>40900.400000000001</v>
      </c>
      <c r="G20" s="12">
        <v>147</v>
      </c>
      <c r="H20" s="5">
        <v>15</v>
      </c>
      <c r="I20" s="5">
        <v>132</v>
      </c>
      <c r="J20" s="1">
        <v>564.1</v>
      </c>
      <c r="K20" s="6"/>
      <c r="L20" s="1">
        <f t="shared" si="1"/>
        <v>564.1</v>
      </c>
    </row>
    <row r="21" spans="1:12" ht="14.5" x14ac:dyDescent="0.35">
      <c r="A21" s="3">
        <v>46072</v>
      </c>
      <c r="B21" s="7">
        <v>5</v>
      </c>
      <c r="C21" s="7"/>
      <c r="D21" s="6">
        <v>76535.98</v>
      </c>
      <c r="E21" s="6">
        <v>32184.61</v>
      </c>
      <c r="F21" s="6">
        <f t="shared" si="0"/>
        <v>44351.369999999995</v>
      </c>
      <c r="G21" s="12">
        <v>182</v>
      </c>
      <c r="H21" s="5">
        <v>20</v>
      </c>
      <c r="I21" s="5">
        <v>162</v>
      </c>
      <c r="J21" s="1">
        <v>544.08999999999992</v>
      </c>
      <c r="K21" s="6"/>
      <c r="L21" s="1">
        <f t="shared" si="1"/>
        <v>544.08999999999992</v>
      </c>
    </row>
    <row r="22" spans="1:12" ht="14.5" x14ac:dyDescent="0.35">
      <c r="A22" s="3">
        <v>46073</v>
      </c>
      <c r="B22" s="7">
        <v>6</v>
      </c>
      <c r="C22" s="7"/>
      <c r="D22" s="6">
        <v>69491.990000000005</v>
      </c>
      <c r="E22" s="6">
        <v>29387.72</v>
      </c>
      <c r="F22" s="6">
        <f t="shared" si="0"/>
        <v>40104.270000000004</v>
      </c>
      <c r="G22" s="12">
        <v>174</v>
      </c>
      <c r="H22" s="5">
        <v>20</v>
      </c>
      <c r="I22" s="5">
        <v>154</v>
      </c>
      <c r="J22" s="1">
        <v>1009.6600000000001</v>
      </c>
      <c r="K22" s="6"/>
      <c r="L22" s="1">
        <f t="shared" si="1"/>
        <v>1009.6600000000001</v>
      </c>
    </row>
    <row r="23" spans="1:12" ht="14.5" x14ac:dyDescent="0.35">
      <c r="A23" s="3">
        <v>46074</v>
      </c>
      <c r="B23" s="7">
        <v>7</v>
      </c>
      <c r="C23" s="7"/>
      <c r="D23" s="6">
        <v>67236.59</v>
      </c>
      <c r="E23" s="6">
        <v>38241.58</v>
      </c>
      <c r="F23" s="6">
        <f t="shared" si="0"/>
        <v>28995.009999999995</v>
      </c>
      <c r="G23" s="12">
        <v>139</v>
      </c>
      <c r="H23" s="5">
        <v>26</v>
      </c>
      <c r="I23" s="5">
        <v>113</v>
      </c>
      <c r="J23" s="1">
        <v>635.80000000000007</v>
      </c>
      <c r="K23" s="6"/>
      <c r="L23" s="1">
        <f t="shared" si="1"/>
        <v>635.80000000000007</v>
      </c>
    </row>
    <row r="24" spans="1:12" ht="14.5" x14ac:dyDescent="0.35">
      <c r="A24" s="3">
        <v>46075</v>
      </c>
      <c r="B24" s="7">
        <v>1</v>
      </c>
      <c r="C24" s="7"/>
      <c r="D24" s="6">
        <v>45537.63</v>
      </c>
      <c r="E24" s="6">
        <v>27154.82</v>
      </c>
      <c r="F24" s="6">
        <f t="shared" si="0"/>
        <v>18382.809999999998</v>
      </c>
      <c r="G24" s="12">
        <v>69</v>
      </c>
      <c r="H24" s="5">
        <v>12</v>
      </c>
      <c r="I24" s="5">
        <v>57</v>
      </c>
      <c r="J24" s="1">
        <v>578.97</v>
      </c>
      <c r="K24" s="6"/>
      <c r="L24" s="1">
        <f t="shared" si="1"/>
        <v>578.97</v>
      </c>
    </row>
    <row r="25" spans="1:12" ht="14.5" customHeight="1" x14ac:dyDescent="0.35">
      <c r="A25" s="3">
        <v>46076</v>
      </c>
      <c r="B25" s="7">
        <v>2</v>
      </c>
      <c r="C25" s="7"/>
      <c r="D25" s="6">
        <v>62067.65</v>
      </c>
      <c r="E25" s="6">
        <v>33878.910000000003</v>
      </c>
      <c r="F25" s="6">
        <f t="shared" si="0"/>
        <v>28188.739999999998</v>
      </c>
      <c r="G25" s="12">
        <v>119</v>
      </c>
      <c r="H25" s="12">
        <v>24</v>
      </c>
      <c r="I25" s="5">
        <v>95</v>
      </c>
      <c r="J25" s="1">
        <v>1194.03</v>
      </c>
      <c r="K25" s="6"/>
      <c r="L25" s="1">
        <f t="shared" si="1"/>
        <v>1194.03</v>
      </c>
    </row>
    <row r="26" spans="1:12" ht="14.5" x14ac:dyDescent="0.35">
      <c r="A26" s="3">
        <v>46077</v>
      </c>
      <c r="B26" s="7">
        <v>3</v>
      </c>
      <c r="C26" s="7"/>
      <c r="D26" s="6">
        <v>68425.34</v>
      </c>
      <c r="E26" s="6">
        <v>31270.23</v>
      </c>
      <c r="F26" s="6">
        <f t="shared" si="0"/>
        <v>37155.11</v>
      </c>
      <c r="G26" s="12">
        <v>175</v>
      </c>
      <c r="H26" s="5">
        <v>34</v>
      </c>
      <c r="I26" s="5">
        <v>141</v>
      </c>
      <c r="J26" s="1">
        <v>1595.84</v>
      </c>
      <c r="K26" s="6"/>
      <c r="L26" s="1">
        <f t="shared" si="1"/>
        <v>1595.84</v>
      </c>
    </row>
    <row r="27" spans="1:12" ht="14.5" x14ac:dyDescent="0.35">
      <c r="A27" s="3">
        <v>46078</v>
      </c>
      <c r="B27" s="7">
        <v>4</v>
      </c>
      <c r="C27" s="7"/>
      <c r="D27" s="6">
        <v>116313.49</v>
      </c>
      <c r="E27" s="6">
        <v>29752.33</v>
      </c>
      <c r="F27" s="6">
        <f t="shared" si="0"/>
        <v>86561.16</v>
      </c>
      <c r="G27" s="12">
        <v>228</v>
      </c>
      <c r="H27" s="5">
        <v>23</v>
      </c>
      <c r="I27" s="5">
        <v>205</v>
      </c>
      <c r="J27" s="1">
        <v>1875.98</v>
      </c>
      <c r="K27" s="6"/>
      <c r="L27" s="1">
        <f t="shared" si="1"/>
        <v>1875.98</v>
      </c>
    </row>
    <row r="28" spans="1:12" ht="14.5" x14ac:dyDescent="0.35">
      <c r="A28" s="3">
        <v>46079</v>
      </c>
      <c r="B28" s="7">
        <v>5</v>
      </c>
      <c r="C28" s="7"/>
      <c r="D28" s="6">
        <v>75776.7</v>
      </c>
      <c r="E28" s="6">
        <v>26965.22</v>
      </c>
      <c r="F28" s="6">
        <f t="shared" si="0"/>
        <v>48811.479999999996</v>
      </c>
      <c r="G28" s="12">
        <v>154</v>
      </c>
      <c r="H28" s="5">
        <v>21</v>
      </c>
      <c r="I28" s="5">
        <v>133</v>
      </c>
      <c r="J28" s="1">
        <v>2151.16</v>
      </c>
      <c r="K28" s="6"/>
      <c r="L28" s="1">
        <f t="shared" si="1"/>
        <v>2151.16</v>
      </c>
    </row>
    <row r="29" spans="1:12" ht="14.5" x14ac:dyDescent="0.35">
      <c r="A29" s="3">
        <v>46080</v>
      </c>
      <c r="B29" s="7">
        <v>6</v>
      </c>
      <c r="C29" s="7"/>
      <c r="D29" s="6">
        <v>90710.59</v>
      </c>
      <c r="E29" s="6">
        <v>15100.44</v>
      </c>
      <c r="F29" s="6">
        <f t="shared" si="0"/>
        <v>75610.149999999994</v>
      </c>
      <c r="G29" s="12">
        <v>262</v>
      </c>
      <c r="H29" s="5">
        <v>17</v>
      </c>
      <c r="I29" s="5">
        <v>245</v>
      </c>
      <c r="J29" s="1">
        <v>3093.32</v>
      </c>
      <c r="K29" s="6"/>
      <c r="L29" s="1">
        <f t="shared" si="1"/>
        <v>3093.32</v>
      </c>
    </row>
    <row r="30" spans="1:12" ht="14.5" x14ac:dyDescent="0.35">
      <c r="A30" s="3">
        <v>46081</v>
      </c>
      <c r="B30" s="7">
        <v>7</v>
      </c>
      <c r="C30" s="7"/>
      <c r="D30" s="6">
        <v>83650.75</v>
      </c>
      <c r="E30" s="6">
        <v>27285.59</v>
      </c>
      <c r="F30" s="6">
        <f t="shared" si="0"/>
        <v>56365.16</v>
      </c>
      <c r="G30" s="12">
        <v>184</v>
      </c>
      <c r="H30" s="5">
        <v>14</v>
      </c>
      <c r="I30" s="5">
        <v>170</v>
      </c>
      <c r="J30" s="1">
        <v>1974.04</v>
      </c>
      <c r="K30" s="6"/>
      <c r="L30" s="1">
        <f t="shared" si="1"/>
        <v>1974.04</v>
      </c>
    </row>
    <row r="31" spans="1:12" ht="14.5" x14ac:dyDescent="0.35">
      <c r="D31" s="13">
        <f t="shared" ref="D31:I31" si="2">SUM(D3:D30)</f>
        <v>2436786.0500000003</v>
      </c>
      <c r="E31" s="13">
        <f t="shared" si="2"/>
        <v>1100700.3299999998</v>
      </c>
      <c r="F31" s="6">
        <f t="shared" si="0"/>
        <v>1336085.7200000004</v>
      </c>
      <c r="G31" s="2">
        <f t="shared" si="2"/>
        <v>5089</v>
      </c>
      <c r="H31" s="2">
        <f t="shared" si="2"/>
        <v>869</v>
      </c>
      <c r="I31" s="2">
        <f t="shared" si="2"/>
        <v>4220</v>
      </c>
      <c r="J31" s="13">
        <v>29069.719999999998</v>
      </c>
      <c r="K31" s="13"/>
      <c r="L31" s="1"/>
    </row>
    <row r="32" spans="1:12" ht="14.5" x14ac:dyDescent="0.35">
      <c r="E32"/>
      <c r="F32"/>
      <c r="J32" s="16"/>
      <c r="K32" s="15"/>
    </row>
    <row r="33" spans="1:6" ht="15" customHeight="1" x14ac:dyDescent="0.35">
      <c r="E33"/>
      <c r="F33"/>
    </row>
    <row r="34" spans="1:6" ht="14.5" x14ac:dyDescent="0.35">
      <c r="A34" s="9"/>
      <c r="E34"/>
      <c r="F34"/>
    </row>
    <row r="35" spans="1:6" ht="14.5" x14ac:dyDescent="0.35">
      <c r="A35" s="8"/>
      <c r="E35"/>
      <c r="F35"/>
    </row>
    <row r="36" spans="1:6" ht="14.5" x14ac:dyDescent="0.35">
      <c r="A36" s="8"/>
      <c r="E36"/>
      <c r="F36"/>
    </row>
    <row r="37" spans="1:6" ht="14.5" x14ac:dyDescent="0.35">
      <c r="A37" s="8"/>
      <c r="E37"/>
      <c r="F37"/>
    </row>
    <row r="38" spans="1:6" ht="14.5" x14ac:dyDescent="0.35">
      <c r="A38" s="8"/>
      <c r="E38"/>
      <c r="F38"/>
    </row>
    <row r="39" spans="1:6" ht="14.5" x14ac:dyDescent="0.35">
      <c r="A39" s="8"/>
      <c r="E39"/>
      <c r="F39"/>
    </row>
  </sheetData>
  <conditionalFormatting sqref="C3:C30 B4:C30">
    <cfRule type="expression" dxfId="0" priority="4">
      <formula>WEEKDAY(A3,2)&gt;5</formula>
    </cfRule>
  </conditionalFormatting>
  <conditionalFormatting sqref="E21:E30">
    <cfRule type="colorScale" priority="23">
      <colorScale>
        <cfvo type="min"/>
        <cfvo type="percentile" val="50"/>
        <cfvo type="max"/>
        <color rgb="FFC00000"/>
        <color rgb="FFFFEB84"/>
        <color theme="9"/>
      </colorScale>
    </cfRule>
  </conditionalFormatting>
  <conditionalFormatting sqref="E3:F3 D3:D25 E4:E20 F4:F31">
    <cfRule type="colorScale" priority="5">
      <colorScale>
        <cfvo type="min"/>
        <cfvo type="percentile" val="50"/>
        <cfvo type="max"/>
        <color rgb="FFC00000"/>
        <color rgb="FFFFEB84"/>
        <color theme="9"/>
      </colorScale>
    </cfRule>
  </conditionalFormatting>
  <conditionalFormatting sqref="G3:G10">
    <cfRule type="colorScale" priority="2">
      <colorScale>
        <cfvo type="min"/>
        <cfvo type="percentile" val="50"/>
        <cfvo type="max"/>
        <color rgb="FFC00000"/>
        <color rgb="FFFFEB84"/>
        <color theme="9"/>
      </colorScale>
    </cfRule>
  </conditionalFormatting>
  <conditionalFormatting sqref="G11:G24 D26:D30 G25:H25 G26:G30">
    <cfRule type="colorScale" priority="15">
      <colorScale>
        <cfvo type="min"/>
        <cfvo type="percentile" val="50"/>
        <cfvo type="max"/>
        <color rgb="FFC00000"/>
        <color rgb="FFFFEB84"/>
        <color theme="9"/>
      </colorScale>
    </cfRule>
  </conditionalFormatting>
  <conditionalFormatting sqref="H3:I24 H26:I30 I25">
    <cfRule type="colorScale" priority="19">
      <colorScale>
        <cfvo type="min"/>
        <cfvo type="percentile" val="35"/>
        <cfvo type="max"/>
        <color rgb="FFC00000"/>
        <color rgb="FFFFEB84"/>
        <color theme="9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4969-21CB-409E-A23E-202CD1C70762}">
  <dimension ref="A1:L11"/>
  <sheetViews>
    <sheetView tabSelected="1" workbookViewId="0">
      <selection activeCell="F11" sqref="F11"/>
    </sheetView>
  </sheetViews>
  <sheetFormatPr defaultColWidth="22.26953125" defaultRowHeight="14.5" x14ac:dyDescent="0.35"/>
  <cols>
    <col min="1" max="1" width="7.1796875" customWidth="1"/>
    <col min="2" max="2" width="11.90625" bestFit="1" customWidth="1"/>
    <col min="3" max="3" width="15.1796875" bestFit="1" customWidth="1"/>
    <col min="4" max="4" width="15.26953125" bestFit="1" customWidth="1"/>
    <col min="5" max="5" width="16.26953125" customWidth="1"/>
    <col min="6" max="7" width="16.453125" customWidth="1"/>
    <col min="8" max="8" width="17.81640625" customWidth="1"/>
  </cols>
  <sheetData>
    <row r="1" spans="1:12" x14ac:dyDescent="0.35">
      <c r="B1" t="s">
        <v>25</v>
      </c>
      <c r="C1" t="s">
        <v>24</v>
      </c>
      <c r="D1" s="17" t="s">
        <v>13</v>
      </c>
      <c r="E1" s="17" t="s">
        <v>14</v>
      </c>
      <c r="F1" s="17" t="s">
        <v>15</v>
      </c>
      <c r="G1" s="17" t="s">
        <v>22</v>
      </c>
      <c r="H1" s="17" t="s">
        <v>20</v>
      </c>
      <c r="I1" s="17" t="s">
        <v>16</v>
      </c>
      <c r="J1" t="s">
        <v>17</v>
      </c>
      <c r="K1" t="s">
        <v>18</v>
      </c>
      <c r="L1" t="s">
        <v>19</v>
      </c>
    </row>
    <row r="2" spans="1:12" x14ac:dyDescent="0.35">
      <c r="A2" s="18">
        <v>46054</v>
      </c>
      <c r="B2" s="20">
        <v>574568</v>
      </c>
      <c r="C2" s="20">
        <v>148474</v>
      </c>
      <c r="D2" s="10">
        <v>2077063.98</v>
      </c>
      <c r="E2" s="10">
        <v>870492.16000000003</v>
      </c>
      <c r="F2" s="21">
        <f>D2-E2</f>
        <v>1206571.8199999998</v>
      </c>
      <c r="G2" s="20">
        <v>4571</v>
      </c>
      <c r="H2">
        <v>702</v>
      </c>
      <c r="I2" s="20">
        <f>G2-H2</f>
        <v>3869</v>
      </c>
      <c r="J2" s="19">
        <v>61200.93</v>
      </c>
      <c r="K2" s="19">
        <v>36286</v>
      </c>
      <c r="L2" s="19">
        <v>24914.93</v>
      </c>
    </row>
    <row r="3" spans="1:12" x14ac:dyDescent="0.35">
      <c r="A3" s="18">
        <v>46023</v>
      </c>
      <c r="B3" s="20">
        <v>841067</v>
      </c>
      <c r="C3" s="20">
        <v>296365</v>
      </c>
      <c r="D3" s="10">
        <v>2728097.16</v>
      </c>
      <c r="E3" s="10">
        <v>1658068.73</v>
      </c>
      <c r="F3" s="21">
        <f>D3-E3</f>
        <v>1070028.4300000002</v>
      </c>
      <c r="G3" s="20">
        <v>5194</v>
      </c>
      <c r="H3" s="20">
        <v>1200</v>
      </c>
      <c r="I3" s="20">
        <f>G3-H3</f>
        <v>3994</v>
      </c>
      <c r="J3" s="19">
        <v>147877.75</v>
      </c>
      <c r="K3" s="19">
        <v>49274.78</v>
      </c>
      <c r="L3" s="19">
        <v>98602.97</v>
      </c>
    </row>
    <row r="4" spans="1:12" x14ac:dyDescent="0.35">
      <c r="A4" s="18">
        <v>45992</v>
      </c>
      <c r="B4" s="20">
        <v>946763</v>
      </c>
      <c r="C4" s="20">
        <v>359346</v>
      </c>
      <c r="D4" s="10">
        <v>2570392.54</v>
      </c>
      <c r="E4" s="10">
        <v>1201257.26</v>
      </c>
      <c r="F4" s="21">
        <f>D4-E4</f>
        <v>1369135.28</v>
      </c>
      <c r="G4" s="20">
        <v>5546</v>
      </c>
      <c r="H4" s="20">
        <v>885</v>
      </c>
      <c r="I4" s="20">
        <f>G4-H4</f>
        <v>4661</v>
      </c>
      <c r="J4" s="19">
        <v>178543.87</v>
      </c>
      <c r="K4" s="19">
        <v>78600.97</v>
      </c>
      <c r="L4" s="19">
        <v>99942.91</v>
      </c>
    </row>
    <row r="5" spans="1:12" x14ac:dyDescent="0.35">
      <c r="A5" s="18">
        <v>45962</v>
      </c>
      <c r="B5" s="20">
        <v>1126579</v>
      </c>
      <c r="C5" s="20">
        <v>515551</v>
      </c>
      <c r="D5" s="10">
        <v>4243388.33</v>
      </c>
      <c r="E5" s="10">
        <v>2358109.88</v>
      </c>
      <c r="F5" s="21">
        <f>D5-E5</f>
        <v>1885278.4500000002</v>
      </c>
      <c r="G5" s="20">
        <v>8182</v>
      </c>
      <c r="H5" s="20">
        <v>2076</v>
      </c>
      <c r="I5" s="20">
        <f>G5-H5</f>
        <v>6106</v>
      </c>
      <c r="J5" s="19">
        <v>247606.85</v>
      </c>
      <c r="K5" s="19">
        <v>68274.97</v>
      </c>
      <c r="L5" s="19">
        <v>179331.88</v>
      </c>
    </row>
    <row r="6" spans="1:12" x14ac:dyDescent="0.35">
      <c r="A6" s="18">
        <v>45931</v>
      </c>
      <c r="B6" s="20">
        <v>984249</v>
      </c>
      <c r="C6" s="20">
        <v>483388</v>
      </c>
      <c r="D6" s="10">
        <v>3136309.75</v>
      </c>
      <c r="E6" s="10">
        <v>1730703.83</v>
      </c>
      <c r="F6" s="21">
        <f>D6-E6</f>
        <v>1405605.92</v>
      </c>
      <c r="G6" s="20">
        <v>5546</v>
      </c>
      <c r="H6" s="20">
        <v>1239</v>
      </c>
      <c r="I6" s="20">
        <f>G6-H6</f>
        <v>4307</v>
      </c>
      <c r="J6" s="19">
        <v>233084.37</v>
      </c>
      <c r="K6" s="19">
        <v>65915.25</v>
      </c>
      <c r="L6" s="19">
        <v>167648.76999999999</v>
      </c>
    </row>
    <row r="7" spans="1:12" x14ac:dyDescent="0.35">
      <c r="A7" s="18">
        <v>45901</v>
      </c>
      <c r="B7" s="20">
        <v>906711</v>
      </c>
      <c r="C7" s="20">
        <v>408147</v>
      </c>
      <c r="D7" s="10">
        <v>2402533.14</v>
      </c>
      <c r="E7" s="10">
        <v>1296036.3999999999</v>
      </c>
      <c r="F7" s="21">
        <f>D7-E7</f>
        <v>1106496.7400000002</v>
      </c>
      <c r="G7" s="20">
        <v>4611</v>
      </c>
      <c r="H7" s="20">
        <v>912</v>
      </c>
      <c r="I7" s="20">
        <f>G7-H7</f>
        <v>3699</v>
      </c>
      <c r="J7" s="19">
        <v>146859.67000000001</v>
      </c>
      <c r="K7" s="19">
        <v>37268.25</v>
      </c>
      <c r="L7" s="19">
        <v>109591.42</v>
      </c>
    </row>
    <row r="11" spans="1:12" x14ac:dyDescent="0.35">
      <c r="C11" s="17" t="s">
        <v>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FEV</vt:lpstr>
      <vt:lpstr>ultimos 6 meses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Tiemi Mizushima Casimiro, Giovana</dc:creator>
  <cp:keywords/>
  <dc:description/>
  <cp:lastModifiedBy>Tiemi Mizushima Casimiro, Giovana</cp:lastModifiedBy>
  <cp:revision/>
  <dcterms:created xsi:type="dcterms:W3CDTF">2026-01-19T18:47:04Z</dcterms:created>
  <dcterms:modified xsi:type="dcterms:W3CDTF">2026-03-02T14:08:09Z</dcterms:modified>
  <cp:category/>
  <cp:contentStatus/>
</cp:coreProperties>
</file>